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mafaz\OneDrive\Desktop\Data Analyst\Power Bi\HR Analytics\"/>
    </mc:Choice>
  </mc:AlternateContent>
  <xr:revisionPtr revIDLastSave="0" documentId="13_ncr:1_{720C656E-D6E9-46B2-BFB7-5496EFC0DC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4" r:id="rId1"/>
    <sheet name="Executive &amp; above Recruitments" sheetId="3" r:id="rId2"/>
  </sheets>
  <definedNames>
    <definedName name="_xlcn.WorksheetConnection_RecruitmentData.xlsxTable11" hidden="1">Table1[]</definedName>
  </definedNames>
  <calcPr calcId="191029"/>
  <pivotCaches>
    <pivotCache cacheId="45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cruitment Data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8FC4AA-EB65-4E7D-B9E4-581F7FE4287E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1405995-FD22-412B-8DB3-8C746A0DA598}" name="WorksheetConnection_Recruitment Data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cruitmentData.xlsxTable11"/>
        </x15:connection>
      </ext>
    </extLst>
  </connection>
</connections>
</file>

<file path=xl/sharedStrings.xml><?xml version="1.0" encoding="utf-8"?>
<sst xmlns="http://schemas.openxmlformats.org/spreadsheetml/2006/main" count="364" uniqueCount="111">
  <si>
    <t>Designation</t>
  </si>
  <si>
    <t>Job Category</t>
  </si>
  <si>
    <t>SBU</t>
  </si>
  <si>
    <t>Vacancy Close Date (dd/mm/yyyy) if "N" -  (Offer letter issue date)</t>
  </si>
  <si>
    <t>Month</t>
  </si>
  <si>
    <t>Year</t>
  </si>
  <si>
    <t>Area Sales Manager</t>
  </si>
  <si>
    <t>Assistant Manager</t>
  </si>
  <si>
    <t>Senior Executive</t>
  </si>
  <si>
    <t>Executive</t>
  </si>
  <si>
    <t xml:space="preserve">Executive </t>
  </si>
  <si>
    <t>Executive - HR</t>
  </si>
  <si>
    <t>Manager</t>
  </si>
  <si>
    <t>Senior Manager</t>
  </si>
  <si>
    <t>Accounts Executive</t>
  </si>
  <si>
    <t>Product Manager</t>
  </si>
  <si>
    <t>Executive - Procurement</t>
  </si>
  <si>
    <t>GM</t>
  </si>
  <si>
    <t>Industrial Services Engineer</t>
  </si>
  <si>
    <t>HR Executive</t>
  </si>
  <si>
    <t>Junior Accounts Executive</t>
  </si>
  <si>
    <t>Senior Executive - Human Resources</t>
  </si>
  <si>
    <t xml:space="preserve">Junior Executive </t>
  </si>
  <si>
    <t>Senior Executive - Procurement</t>
  </si>
  <si>
    <t>Territory Manager 2</t>
  </si>
  <si>
    <t>Executive Sous Chef</t>
  </si>
  <si>
    <t>Territory Manager</t>
  </si>
  <si>
    <t>Accounts Executive 1</t>
  </si>
  <si>
    <t>Accounts Executive 2</t>
  </si>
  <si>
    <t>Executive - Food Safety and Certifications</t>
  </si>
  <si>
    <t>January</t>
  </si>
  <si>
    <t>Assistant Manager - Strategy</t>
  </si>
  <si>
    <t>General Manager - Supply Chain</t>
  </si>
  <si>
    <t>Assistant Manager - Creative Media &amp; Design</t>
  </si>
  <si>
    <t>Assistant Manager - Learning &amp; Developemnt</t>
  </si>
  <si>
    <t>Assistant Manager - Security Operations &amp; Administration</t>
  </si>
  <si>
    <t>Senior Executive - Administration &amp; Operation</t>
  </si>
  <si>
    <t xml:space="preserve">DGM - Power </t>
  </si>
  <si>
    <t>DGM</t>
  </si>
  <si>
    <t>Executive - Finance</t>
  </si>
  <si>
    <t>Territory Manager 1</t>
  </si>
  <si>
    <t>Manager - Marketing</t>
  </si>
  <si>
    <t>Senior Manager – Business Development</t>
  </si>
  <si>
    <t>Executive - Costing</t>
  </si>
  <si>
    <t xml:space="preserve">Superintendent - Security &amp; Administration </t>
  </si>
  <si>
    <t>Commercial Executive</t>
  </si>
  <si>
    <t>Assistant Manager - Business Development</t>
  </si>
  <si>
    <t>Senior Manager -  Operations</t>
  </si>
  <si>
    <t>February</t>
  </si>
  <si>
    <t>Industrial services Engineer</t>
  </si>
  <si>
    <t>Manager Bulk Survice</t>
  </si>
  <si>
    <t>Operations Engineer</t>
  </si>
  <si>
    <t>Center Manager</t>
  </si>
  <si>
    <t>Finance Executive</t>
  </si>
  <si>
    <t>Customer Coordinator</t>
  </si>
  <si>
    <t>Senior Manager - Sales &amp; Marketing</t>
  </si>
  <si>
    <t>Junior Executive - Operation</t>
  </si>
  <si>
    <t>DPA</t>
  </si>
  <si>
    <t>Junior Executive - R&amp;D</t>
  </si>
  <si>
    <t>Associate - General Ledger 1</t>
  </si>
  <si>
    <t>Associate - General Ledger 2</t>
  </si>
  <si>
    <t>Executive - Pharmacy CPU</t>
  </si>
  <si>
    <t>Executive - Imports &amp; Exports</t>
  </si>
  <si>
    <t>Senior Executive - Group Tax &amp; Regulatory Reporting</t>
  </si>
  <si>
    <t>Operation Executive</t>
  </si>
  <si>
    <t>Executive – Design &amp; Development</t>
  </si>
  <si>
    <t>Chef Di Cuisine</t>
  </si>
  <si>
    <t>March</t>
  </si>
  <si>
    <t>Junior Executive - Marketing</t>
  </si>
  <si>
    <t>Assistant Manager - Corporate Communication</t>
  </si>
  <si>
    <t>Executive - Tax</t>
  </si>
  <si>
    <t>Audit Executive</t>
  </si>
  <si>
    <t>Manager-Maintenance, Projects &amp; Administration</t>
  </si>
  <si>
    <t>Asst. Manager</t>
  </si>
  <si>
    <t>Chef De Partie</t>
  </si>
  <si>
    <t>April</t>
  </si>
  <si>
    <t>Chemist</t>
  </si>
  <si>
    <t>Chemical Engineer</t>
  </si>
  <si>
    <t>Electrical Engineer</t>
  </si>
  <si>
    <t>Operations Executive 1</t>
  </si>
  <si>
    <t>Operations Executive 2</t>
  </si>
  <si>
    <t>Operations Executive 3</t>
  </si>
  <si>
    <t>Operations Executive 4</t>
  </si>
  <si>
    <t>Operations Executive 5</t>
  </si>
  <si>
    <t xml:space="preserve">Project Manager </t>
  </si>
  <si>
    <t>Quantity Surveyor</t>
  </si>
  <si>
    <t>Assistant Manager - Purchasing</t>
  </si>
  <si>
    <t>Assistant Manager - Procurement</t>
  </si>
  <si>
    <t>Junior Executive - Internal Audit</t>
  </si>
  <si>
    <t>Assistant Manager - Import &amp; Export</t>
  </si>
  <si>
    <t>Senior Executive - HR</t>
  </si>
  <si>
    <t>SBU 1</t>
  </si>
  <si>
    <t>SBU 2</t>
  </si>
  <si>
    <t>SBU 3</t>
  </si>
  <si>
    <t>SBU 4</t>
  </si>
  <si>
    <t>SBU 5</t>
  </si>
  <si>
    <t>SBU 6</t>
  </si>
  <si>
    <t>SBU 7</t>
  </si>
  <si>
    <t>SBU 8</t>
  </si>
  <si>
    <t>SBU 9</t>
  </si>
  <si>
    <t>SBU 10</t>
  </si>
  <si>
    <t>SBU 11</t>
  </si>
  <si>
    <t>SBU 12</t>
  </si>
  <si>
    <t>SBU 13</t>
  </si>
  <si>
    <t>SBU 14</t>
  </si>
  <si>
    <t>SBU 15</t>
  </si>
  <si>
    <t>Vacancy Open Date  dd/mm/yyyy</t>
  </si>
  <si>
    <t>Time to Fill  -  ( Vacancy Open Date - Vacancy Close Date )</t>
  </si>
  <si>
    <t>Grand Total</t>
  </si>
  <si>
    <t>Row Labels</t>
  </si>
  <si>
    <t>Lead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</si>
</sst>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164" fontId="0" fillId="0" borderId="8" xfId="0" applyNumberForma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[Recruitment Data.xlsx]Sheet1!PivotTable1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Sheet1!$B$4:$B$5</c:f>
              <c:strCache>
                <c:ptCount val="1"/>
                <c:pt idx="0">
                  <c:v>Accounts Executive</c:v>
                </c:pt>
              </c:strCache>
            </c:strRef>
          </c:cat>
          <c:val>
            <c:numRef>
              <c:f>Sheet1!$C$4:$C$5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9A-4634-96EC-2613DA59D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1834143"/>
        <c:axId val="1601815903"/>
      </c:barChart>
      <c:catAx>
        <c:axId val="1601834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815903"/>
        <c:crosses val="autoZero"/>
        <c:auto val="1"/>
        <c:lblAlgn val="ctr"/>
        <c:lblOffset val="100"/>
        <c:noMultiLvlLbl val="0"/>
      </c:catAx>
      <c:valAx>
        <c:axId val="1601815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83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69384</xdr:colOff>
      <xdr:row>2</xdr:row>
      <xdr:rowOff>3151</xdr:rowOff>
    </xdr:from>
    <xdr:to>
      <xdr:col>28</xdr:col>
      <xdr:colOff>106551</xdr:colOff>
      <xdr:row>16</xdr:row>
      <xdr:rowOff>119760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29488B-6F19-C61C-2C20-D06638344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faz mfz" refreshedDate="45818.689211342593" createdVersion="5" refreshedVersion="8" minRefreshableVersion="3" recordCount="0" supportSubquery="1" supportAdvancedDrill="1" xr:uid="{9CF0358E-C040-406C-BE20-58F87F23662B}">
  <cacheSource type="external" connectionId="1"/>
  <cacheFields count="3">
    <cacheField name="[Table1].[Designation].[Designation]" caption="Designation" numFmtId="0" level="1">
      <sharedItems count="1">
        <s v="Accounts Executive"/>
      </sharedItems>
    </cacheField>
    <cacheField name="[Measures].[Sum of Time to Fill  -  ( Vacancy Open Date - Vacancy Close Date )]" caption="Sum of Time to Fill  -  ( Vacancy Open Date - Vacancy Close Date )" numFmtId="0" hierarchy="11" level="32767"/>
    <cacheField name="[Table1].[SBU].[SBU]" caption="SBU" numFmtId="0" hierarchy="2" level="1">
      <sharedItems containsSemiMixedTypes="0" containsNonDate="0" containsString="0"/>
    </cacheField>
  </cacheFields>
  <cacheHierarchies count="13">
    <cacheHierarchy uniqueName="[Table1].[Designation]" caption="Designation" attribute="1" defaultMemberUniqueName="[Table1].[Designation].[All]" allUniqueName="[Table1].[Designat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Job Category]" caption="Job Category" attribute="1" defaultMemberUniqueName="[Table1].[Job Category].[All]" allUniqueName="[Table1].[Job Category].[All]" dimensionUniqueName="[Table1]" displayFolder="" count="0" memberValueDatatype="130" unbalanced="0"/>
    <cacheHierarchy uniqueName="[Table1].[SBU]" caption="SBU" attribute="1" defaultMemberUniqueName="[Table1].[SBU].[All]" allUniqueName="[Table1].[SBU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Vacancy Open Date  dd/mm/yyyy]" caption="Vacancy Open Date  dd/mm/yyyy" attribute="1" time="1" defaultMemberUniqueName="[Table1].[Vacancy Open Date  dd/mm/yyyy].[All]" allUniqueName="[Table1].[Vacancy Open Date  dd/mm/yyyy].[All]" dimensionUniqueName="[Table1]" displayFolder="" count="0" memberValueDatatype="7" unbalanced="0"/>
    <cacheHierarchy uniqueName="[Table1].[Vacancy Close Date (dd/mm/yyyy) if &quot;N&quot; -  (Offer letter issue date)]" caption="Vacancy Close Date (dd/mm/yyyy) if &quot;N&quot; -  (Offer letter issue date)" attribute="1" time="1" defaultMemberUniqueName="[Table1].[Vacancy Close Date (dd/mm/yyyy) if &quot;N&quot; -  (Offer letter issue date)].[All]" allUniqueName="[Table1].[Vacancy Close Date (dd/mm/yyyy) if &quot;N&quot; -  (Offer letter issue date)].[All]" dimensionUniqueName="[Table1]" displayFolder="" count="0" memberValueDatatype="7" unbalanced="0"/>
    <cacheHierarchy uniqueName="[Table1].[Time to Fill  -  ( Vacancy Open Date - Vacancy Close Date )]" caption="Time to Fill  -  ( Vacancy Open Date - Vacancy Close Date )" attribute="1" defaultMemberUniqueName="[Table1].[Time to Fill  -  ( Vacancy Open Date - Vacancy Close Date )].[All]" allUniqueName="[Table1].[Time to Fill  -  ( Vacancy Open Date - Vacancy Close Date )].[All]" dimensionUniqueName="[Table1]" displayFolder="" count="0" memberValueDatatype="20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KPI]" caption="KPI" attribute="1" defaultMemberUniqueName="[Table1].[KPI].[All]" allUniqueName="[Table1].[KPI].[All]" dimensionUniqueName="[Table1]" displayFolder="" count="2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ime to Fill  -  ( Vacancy Open Date - Vacancy Close Date )]" caption="Sum of Time to Fill  -  ( Vacancy Open Date - Vacancy Close Date )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KPI]" caption="Count of KPI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7E13A-D470-4B97-9263-E4C73BC7D961}" name="PivotTable1" cacheId="45" applyNumberFormats="0" applyBorderFormats="0" applyFontFormats="0" applyPatternFormats="0" applyAlignmentFormats="0" applyWidthHeightFormats="1" dataCaption="Values" tag="45708ac6-c6dc-4342-83c4-39cf6eb4c22d" updatedVersion="8" minRefreshableVersion="3" useAutoFormatting="1" itemPrintTitles="1" createdVersion="5" indent="0" outline="1" outlineData="1" multipleFieldFilters="0" chartFormat="2">
  <location ref="B3:C5" firstHeaderRow="1" firstDataRow="1" firstDataCol="1"/>
  <pivotFields count="3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Items count="1">
    <i/>
  </colItems>
  <dataFields count="1">
    <dataField name="Lead TIm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">
    <pivotHierarchy dragToData="1"/>
    <pivotHierarchy dragToData="1"/>
    <pivotHierarchy multipleItemSelectionAllowed="1" dragToData="1">
      <members count="1" level="1">
        <member name="[Table1].[SBU].&amp;[SBU 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Lead TIm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51C248-DDBF-4541-8DF4-6FC36F87BECD}" name="Table1" displayName="Table1" ref="A1:H89" totalsRowShown="0" headerRowDxfId="0" headerRowBorderDxfId="10" tableBorderDxfId="11" totalsRowBorderDxfId="9">
  <autoFilter ref="A1:H89" xr:uid="{1C51C248-DDBF-4541-8DF4-6FC36F87BECD}"/>
  <tableColumns count="8">
    <tableColumn id="1" xr3:uid="{ED0E1F9A-2352-497A-82B3-6EF27D56BBDB}" name="Designation" dataDxfId="8"/>
    <tableColumn id="2" xr3:uid="{D591A6D0-7237-41F4-A2E2-9392538C8C8D}" name="Job Category" dataDxfId="7"/>
    <tableColumn id="3" xr3:uid="{670A98F4-3874-49AA-8E29-5ADCBF40E6DC}" name="SBU" dataDxfId="6"/>
    <tableColumn id="4" xr3:uid="{9A825E68-881E-4E7D-A381-9242322F433F}" name="Vacancy Open Date  dd/mm/yyyy" dataDxfId="5"/>
    <tableColumn id="5" xr3:uid="{9DDFDFD9-C201-411F-9FE1-C6EE39EF6657}" name="Vacancy Close Date (dd/mm/yyyy) if &quot;N&quot; -  (Offer letter issue date)" dataDxfId="4"/>
    <tableColumn id="6" xr3:uid="{290A31E6-67CB-488C-89AD-A457393DBBC0}" name="Time to Fill  -  ( Vacancy Open Date - Vacancy Close Date )" dataDxfId="3">
      <calculatedColumnFormula>E2-D2</calculatedColumnFormula>
    </tableColumn>
    <tableColumn id="7" xr3:uid="{EDBA99BA-8DA5-49AF-9704-20D626D4A0BD}" name="Month" dataDxfId="2"/>
    <tableColumn id="8" xr3:uid="{780E082A-84DB-43F6-A2D8-59F0F06E514B}" name="Yea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B30F-3938-4F97-BC91-AA47C0E32F2F}">
  <dimension ref="B3:C5"/>
  <sheetViews>
    <sheetView tabSelected="1" zoomScale="89" workbookViewId="0">
      <selection activeCell="B3" sqref="B3"/>
    </sheetView>
  </sheetViews>
  <sheetFormatPr defaultRowHeight="15" x14ac:dyDescent="0.25"/>
  <cols>
    <col min="2" max="2" width="18.28515625" bestFit="1" customWidth="1"/>
    <col min="3" max="3" width="10.140625" bestFit="1" customWidth="1"/>
    <col min="4" max="4" width="11.85546875" bestFit="1" customWidth="1"/>
    <col min="5" max="5" width="11.28515625" bestFit="1" customWidth="1"/>
    <col min="6" max="10" width="2" bestFit="1" customWidth="1"/>
    <col min="11" max="25" width="3" bestFit="1" customWidth="1"/>
    <col min="26" max="26" width="19.42578125" bestFit="1" customWidth="1"/>
    <col min="27" max="36" width="3" bestFit="1" customWidth="1"/>
    <col min="37" max="38" width="4" bestFit="1" customWidth="1"/>
    <col min="39" max="39" width="11.28515625" bestFit="1" customWidth="1"/>
    <col min="40" max="40" width="19" bestFit="1" customWidth="1"/>
    <col min="41" max="41" width="17" bestFit="1" customWidth="1"/>
    <col min="42" max="42" width="30.140625" bestFit="1" customWidth="1"/>
    <col min="43" max="43" width="12.42578125" bestFit="1" customWidth="1"/>
    <col min="44" max="44" width="26" bestFit="1" customWidth="1"/>
    <col min="45" max="45" width="24.28515625" bestFit="1" customWidth="1"/>
    <col min="46" max="46" width="30" bestFit="1" customWidth="1"/>
    <col min="47" max="47" width="26.7109375" bestFit="1" customWidth="1"/>
    <col min="48" max="48" width="26.5703125" bestFit="1" customWidth="1"/>
    <col min="49" max="49" width="21.42578125" bestFit="1" customWidth="1"/>
    <col min="50" max="50" width="8.85546875" bestFit="1" customWidth="1"/>
    <col min="51" max="51" width="19.85546875" bestFit="1" customWidth="1"/>
    <col min="52" max="52" width="20.28515625" bestFit="1" customWidth="1"/>
    <col min="53" max="53" width="46.42578125" bestFit="1" customWidth="1"/>
    <col min="54" max="54" width="19.28515625" bestFit="1" customWidth="1"/>
    <col min="55" max="55" width="19.42578125" bestFit="1" customWidth="1"/>
    <col min="56" max="60" width="21.7109375" bestFit="1" customWidth="1"/>
    <col min="61" max="61" width="16.28515625" bestFit="1" customWidth="1"/>
    <col min="62" max="62" width="15.7109375" bestFit="1" customWidth="1"/>
    <col min="63" max="63" width="17.28515625" bestFit="1" customWidth="1"/>
    <col min="64" max="64" width="43.140625" bestFit="1" customWidth="1"/>
    <col min="65" max="65" width="48.7109375" bestFit="1" customWidth="1"/>
    <col min="66" max="66" width="20" bestFit="1" customWidth="1"/>
    <col min="67" max="67" width="33.85546875" bestFit="1" customWidth="1"/>
    <col min="68" max="68" width="29.42578125" bestFit="1" customWidth="1"/>
    <col min="69" max="69" width="27.42578125" bestFit="1" customWidth="1"/>
    <col min="70" max="70" width="38.140625" bestFit="1" customWidth="1"/>
    <col min="71" max="71" width="33.42578125" bestFit="1" customWidth="1"/>
    <col min="72" max="72" width="40.42578125" bestFit="1" customWidth="1"/>
    <col min="73" max="73" width="17.28515625" bestFit="1" customWidth="1"/>
    <col min="74" max="75" width="18.7109375" bestFit="1" customWidth="1"/>
    <col min="76" max="76" width="11.28515625" bestFit="1" customWidth="1"/>
  </cols>
  <sheetData>
    <row r="3" spans="2:3" x14ac:dyDescent="0.25">
      <c r="B3" s="13" t="s">
        <v>109</v>
      </c>
      <c r="C3" t="s">
        <v>110</v>
      </c>
    </row>
    <row r="4" spans="2:3" x14ac:dyDescent="0.25">
      <c r="B4" s="15" t="s">
        <v>14</v>
      </c>
      <c r="C4" s="14">
        <v>30</v>
      </c>
    </row>
    <row r="5" spans="2:3" x14ac:dyDescent="0.25">
      <c r="B5" s="15" t="s">
        <v>108</v>
      </c>
      <c r="C5" s="14">
        <v>30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workbookViewId="0">
      <selection sqref="A1:H89"/>
    </sheetView>
  </sheetViews>
  <sheetFormatPr defaultRowHeight="15" x14ac:dyDescent="0.25"/>
  <cols>
    <col min="1" max="1" width="40.5703125" style="1" customWidth="1"/>
    <col min="2" max="2" width="24.28515625" style="1" customWidth="1"/>
    <col min="3" max="3" width="10.5703125" style="1" customWidth="1"/>
    <col min="4" max="4" width="32.42578125" style="1" customWidth="1"/>
    <col min="5" max="5" width="62" style="1" customWidth="1"/>
    <col min="6" max="6" width="53.28515625" style="1" customWidth="1"/>
    <col min="7" max="8" width="19.85546875" style="1" customWidth="1"/>
    <col min="9" max="16384" width="9.140625" style="1"/>
  </cols>
  <sheetData>
    <row r="1" spans="1:8" ht="45" x14ac:dyDescent="0.25">
      <c r="A1" s="6" t="s">
        <v>0</v>
      </c>
      <c r="B1" s="7" t="s">
        <v>1</v>
      </c>
      <c r="C1" s="7" t="s">
        <v>2</v>
      </c>
      <c r="D1" s="7" t="s">
        <v>106</v>
      </c>
      <c r="E1" s="7" t="s">
        <v>3</v>
      </c>
      <c r="F1" s="7" t="s">
        <v>107</v>
      </c>
      <c r="G1" s="7" t="s">
        <v>4</v>
      </c>
      <c r="H1" s="8" t="s">
        <v>5</v>
      </c>
    </row>
    <row r="2" spans="1:8" x14ac:dyDescent="0.25">
      <c r="A2" s="4" t="s">
        <v>14</v>
      </c>
      <c r="B2" s="2" t="s">
        <v>10</v>
      </c>
      <c r="C2" s="2" t="s">
        <v>91</v>
      </c>
      <c r="D2" s="3">
        <v>45658</v>
      </c>
      <c r="E2" s="3">
        <v>45669</v>
      </c>
      <c r="F2" s="2">
        <f>E2-D2</f>
        <v>11</v>
      </c>
      <c r="G2" s="2" t="s">
        <v>30</v>
      </c>
      <c r="H2" s="5">
        <v>2025</v>
      </c>
    </row>
    <row r="3" spans="1:8" x14ac:dyDescent="0.25">
      <c r="A3" s="4" t="s">
        <v>6</v>
      </c>
      <c r="B3" s="2" t="s">
        <v>7</v>
      </c>
      <c r="C3" s="2" t="s">
        <v>97</v>
      </c>
      <c r="D3" s="3">
        <v>45639</v>
      </c>
      <c r="E3" s="3">
        <v>45642</v>
      </c>
      <c r="F3" s="2">
        <f t="shared" ref="F3:F66" si="0">E3-D3</f>
        <v>3</v>
      </c>
      <c r="G3" s="2" t="s">
        <v>30</v>
      </c>
      <c r="H3" s="5">
        <v>2025</v>
      </c>
    </row>
    <row r="4" spans="1:8" x14ac:dyDescent="0.25">
      <c r="A4" s="4" t="s">
        <v>18</v>
      </c>
      <c r="B4" s="2" t="s">
        <v>7</v>
      </c>
      <c r="C4" s="2" t="s">
        <v>97</v>
      </c>
      <c r="D4" s="3">
        <v>45630</v>
      </c>
      <c r="E4" s="3">
        <v>45656</v>
      </c>
      <c r="F4" s="2">
        <f t="shared" si="0"/>
        <v>26</v>
      </c>
      <c r="G4" s="2" t="s">
        <v>30</v>
      </c>
      <c r="H4" s="5">
        <v>2025</v>
      </c>
    </row>
    <row r="5" spans="1:8" x14ac:dyDescent="0.25">
      <c r="A5" s="4" t="s">
        <v>31</v>
      </c>
      <c r="B5" s="2" t="s">
        <v>7</v>
      </c>
      <c r="C5" s="2" t="s">
        <v>98</v>
      </c>
      <c r="D5" s="3">
        <v>45560</v>
      </c>
      <c r="E5" s="3">
        <v>45581</v>
      </c>
      <c r="F5" s="2">
        <f t="shared" si="0"/>
        <v>21</v>
      </c>
      <c r="G5" s="2" t="s">
        <v>30</v>
      </c>
      <c r="H5" s="5">
        <v>2025</v>
      </c>
    </row>
    <row r="6" spans="1:8" x14ac:dyDescent="0.25">
      <c r="A6" s="4" t="s">
        <v>32</v>
      </c>
      <c r="B6" s="2" t="s">
        <v>17</v>
      </c>
      <c r="C6" s="2" t="s">
        <v>98</v>
      </c>
      <c r="D6" s="3">
        <v>45624</v>
      </c>
      <c r="E6" s="3">
        <v>45628</v>
      </c>
      <c r="F6" s="2">
        <f t="shared" si="0"/>
        <v>4</v>
      </c>
      <c r="G6" s="2" t="s">
        <v>30</v>
      </c>
      <c r="H6" s="5">
        <v>2025</v>
      </c>
    </row>
    <row r="7" spans="1:8" ht="30" x14ac:dyDescent="0.25">
      <c r="A7" s="4" t="s">
        <v>33</v>
      </c>
      <c r="B7" s="2" t="s">
        <v>7</v>
      </c>
      <c r="C7" s="2" t="s">
        <v>98</v>
      </c>
      <c r="D7" s="3">
        <v>45593</v>
      </c>
      <c r="E7" s="3">
        <v>45629</v>
      </c>
      <c r="F7" s="2">
        <f t="shared" si="0"/>
        <v>36</v>
      </c>
      <c r="G7" s="2" t="s">
        <v>30</v>
      </c>
      <c r="H7" s="5">
        <v>2025</v>
      </c>
    </row>
    <row r="8" spans="1:8" ht="30" x14ac:dyDescent="0.25">
      <c r="A8" s="4" t="s">
        <v>34</v>
      </c>
      <c r="B8" s="2" t="s">
        <v>7</v>
      </c>
      <c r="C8" s="2" t="s">
        <v>98</v>
      </c>
      <c r="D8" s="3">
        <v>45627</v>
      </c>
      <c r="E8" s="3">
        <v>45642</v>
      </c>
      <c r="F8" s="2">
        <f t="shared" si="0"/>
        <v>15</v>
      </c>
      <c r="G8" s="2" t="s">
        <v>30</v>
      </c>
      <c r="H8" s="5">
        <v>2025</v>
      </c>
    </row>
    <row r="9" spans="1:8" ht="30" x14ac:dyDescent="0.25">
      <c r="A9" s="4" t="s">
        <v>35</v>
      </c>
      <c r="B9" s="2" t="s">
        <v>7</v>
      </c>
      <c r="C9" s="2" t="s">
        <v>104</v>
      </c>
      <c r="D9" s="3">
        <v>45624</v>
      </c>
      <c r="E9" s="3">
        <v>45645</v>
      </c>
      <c r="F9" s="2">
        <f t="shared" si="0"/>
        <v>21</v>
      </c>
      <c r="G9" s="2" t="s">
        <v>30</v>
      </c>
      <c r="H9" s="5">
        <v>2025</v>
      </c>
    </row>
    <row r="10" spans="1:8" ht="30" x14ac:dyDescent="0.25">
      <c r="A10" s="4" t="s">
        <v>36</v>
      </c>
      <c r="B10" s="2" t="s">
        <v>8</v>
      </c>
      <c r="C10" s="2" t="s">
        <v>104</v>
      </c>
      <c r="D10" s="3">
        <v>45562</v>
      </c>
      <c r="E10" s="3">
        <v>45577</v>
      </c>
      <c r="F10" s="2">
        <f t="shared" si="0"/>
        <v>15</v>
      </c>
      <c r="G10" s="2" t="s">
        <v>30</v>
      </c>
      <c r="H10" s="5">
        <v>2025</v>
      </c>
    </row>
    <row r="11" spans="1:8" x14ac:dyDescent="0.25">
      <c r="A11" s="4" t="s">
        <v>37</v>
      </c>
      <c r="B11" s="2" t="s">
        <v>38</v>
      </c>
      <c r="C11" s="2" t="s">
        <v>103</v>
      </c>
      <c r="D11" s="3">
        <v>45587</v>
      </c>
      <c r="E11" s="3">
        <v>45614</v>
      </c>
      <c r="F11" s="2">
        <f t="shared" si="0"/>
        <v>27</v>
      </c>
      <c r="G11" s="2" t="s">
        <v>30</v>
      </c>
      <c r="H11" s="5">
        <v>2025</v>
      </c>
    </row>
    <row r="12" spans="1:8" x14ac:dyDescent="0.25">
      <c r="A12" s="4" t="s">
        <v>39</v>
      </c>
      <c r="B12" s="2" t="s">
        <v>10</v>
      </c>
      <c r="C12" s="2" t="s">
        <v>92</v>
      </c>
      <c r="D12" s="3">
        <v>45628</v>
      </c>
      <c r="E12" s="3">
        <v>45665</v>
      </c>
      <c r="F12" s="2">
        <f t="shared" si="0"/>
        <v>37</v>
      </c>
      <c r="G12" s="2" t="s">
        <v>30</v>
      </c>
      <c r="H12" s="5">
        <v>2025</v>
      </c>
    </row>
    <row r="13" spans="1:8" x14ac:dyDescent="0.25">
      <c r="A13" s="4" t="s">
        <v>40</v>
      </c>
      <c r="B13" s="2" t="s">
        <v>7</v>
      </c>
      <c r="C13" s="2" t="s">
        <v>100</v>
      </c>
      <c r="D13" s="3">
        <v>45606</v>
      </c>
      <c r="E13" s="3">
        <v>45643</v>
      </c>
      <c r="F13" s="2">
        <f t="shared" si="0"/>
        <v>37</v>
      </c>
      <c r="G13" s="2" t="s">
        <v>30</v>
      </c>
      <c r="H13" s="5">
        <v>2025</v>
      </c>
    </row>
    <row r="14" spans="1:8" x14ac:dyDescent="0.25">
      <c r="A14" s="4" t="s">
        <v>24</v>
      </c>
      <c r="B14" s="2" t="s">
        <v>7</v>
      </c>
      <c r="C14" s="2" t="s">
        <v>100</v>
      </c>
      <c r="D14" s="3">
        <v>45637</v>
      </c>
      <c r="E14" s="3">
        <v>45649</v>
      </c>
      <c r="F14" s="2">
        <f t="shared" si="0"/>
        <v>12</v>
      </c>
      <c r="G14" s="2" t="s">
        <v>30</v>
      </c>
      <c r="H14" s="5">
        <v>2025</v>
      </c>
    </row>
    <row r="15" spans="1:8" x14ac:dyDescent="0.25">
      <c r="A15" s="4" t="s">
        <v>41</v>
      </c>
      <c r="B15" s="2" t="s">
        <v>12</v>
      </c>
      <c r="C15" s="2" t="s">
        <v>100</v>
      </c>
      <c r="D15" s="3">
        <v>45637</v>
      </c>
      <c r="E15" s="3">
        <v>45658</v>
      </c>
      <c r="F15" s="2">
        <f t="shared" si="0"/>
        <v>21</v>
      </c>
      <c r="G15" s="2" t="s">
        <v>30</v>
      </c>
      <c r="H15" s="5">
        <v>2025</v>
      </c>
    </row>
    <row r="16" spans="1:8" x14ac:dyDescent="0.25">
      <c r="A16" s="4" t="s">
        <v>42</v>
      </c>
      <c r="B16" s="2" t="s">
        <v>13</v>
      </c>
      <c r="C16" s="2" t="s">
        <v>100</v>
      </c>
      <c r="D16" s="3">
        <v>45658</v>
      </c>
      <c r="E16" s="3">
        <v>45658</v>
      </c>
      <c r="F16" s="2">
        <f t="shared" si="0"/>
        <v>0</v>
      </c>
      <c r="G16" s="2" t="s">
        <v>30</v>
      </c>
      <c r="H16" s="5">
        <v>2025</v>
      </c>
    </row>
    <row r="17" spans="1:8" x14ac:dyDescent="0.25">
      <c r="A17" s="4" t="s">
        <v>15</v>
      </c>
      <c r="B17" s="2" t="s">
        <v>8</v>
      </c>
      <c r="C17" s="2" t="s">
        <v>100</v>
      </c>
      <c r="D17" s="3">
        <v>45646</v>
      </c>
      <c r="E17" s="3">
        <v>45717</v>
      </c>
      <c r="F17" s="2">
        <f t="shared" si="0"/>
        <v>71</v>
      </c>
      <c r="G17" s="2" t="s">
        <v>30</v>
      </c>
      <c r="H17" s="5">
        <v>2025</v>
      </c>
    </row>
    <row r="18" spans="1:8" x14ac:dyDescent="0.25">
      <c r="A18" s="4" t="s">
        <v>43</v>
      </c>
      <c r="B18" s="2" t="s">
        <v>10</v>
      </c>
      <c r="C18" s="2" t="s">
        <v>100</v>
      </c>
      <c r="D18" s="3">
        <v>45597</v>
      </c>
      <c r="E18" s="3">
        <v>45650</v>
      </c>
      <c r="F18" s="2">
        <f t="shared" si="0"/>
        <v>53</v>
      </c>
      <c r="G18" s="2" t="s">
        <v>30</v>
      </c>
      <c r="H18" s="5">
        <v>2025</v>
      </c>
    </row>
    <row r="19" spans="1:8" x14ac:dyDescent="0.25">
      <c r="A19" s="4" t="s">
        <v>44</v>
      </c>
      <c r="B19" s="2" t="s">
        <v>7</v>
      </c>
      <c r="C19" s="2" t="s">
        <v>105</v>
      </c>
      <c r="D19" s="3">
        <v>45658</v>
      </c>
      <c r="E19" s="3">
        <v>45677</v>
      </c>
      <c r="F19" s="2">
        <f t="shared" si="0"/>
        <v>19</v>
      </c>
      <c r="G19" s="2" t="s">
        <v>30</v>
      </c>
      <c r="H19" s="5">
        <v>2025</v>
      </c>
    </row>
    <row r="20" spans="1:8" x14ac:dyDescent="0.25">
      <c r="A20" s="4" t="s">
        <v>45</v>
      </c>
      <c r="B20" s="2" t="s">
        <v>10</v>
      </c>
      <c r="C20" s="2" t="s">
        <v>96</v>
      </c>
      <c r="D20" s="3">
        <v>45662</v>
      </c>
      <c r="E20" s="3">
        <v>45678</v>
      </c>
      <c r="F20" s="2">
        <f t="shared" si="0"/>
        <v>16</v>
      </c>
      <c r="G20" s="2" t="s">
        <v>30</v>
      </c>
      <c r="H20" s="5">
        <v>2025</v>
      </c>
    </row>
    <row r="21" spans="1:8" x14ac:dyDescent="0.25">
      <c r="A21" s="4" t="s">
        <v>46</v>
      </c>
      <c r="B21" s="2" t="s">
        <v>7</v>
      </c>
      <c r="C21" s="2" t="s">
        <v>96</v>
      </c>
      <c r="D21" s="3">
        <v>45662</v>
      </c>
      <c r="E21" s="3">
        <v>45678</v>
      </c>
      <c r="F21" s="2">
        <f t="shared" si="0"/>
        <v>16</v>
      </c>
      <c r="G21" s="2" t="s">
        <v>30</v>
      </c>
      <c r="H21" s="5">
        <v>2025</v>
      </c>
    </row>
    <row r="22" spans="1:8" x14ac:dyDescent="0.25">
      <c r="A22" s="4" t="s">
        <v>47</v>
      </c>
      <c r="B22" s="2" t="s">
        <v>13</v>
      </c>
      <c r="C22" s="2" t="s">
        <v>103</v>
      </c>
      <c r="D22" s="3">
        <v>45679</v>
      </c>
      <c r="E22" s="3">
        <v>45689</v>
      </c>
      <c r="F22" s="2">
        <f t="shared" si="0"/>
        <v>10</v>
      </c>
      <c r="G22" s="2" t="s">
        <v>48</v>
      </c>
      <c r="H22" s="5">
        <v>2025</v>
      </c>
    </row>
    <row r="23" spans="1:8" x14ac:dyDescent="0.25">
      <c r="A23" s="4" t="s">
        <v>49</v>
      </c>
      <c r="B23" s="2" t="s">
        <v>7</v>
      </c>
      <c r="C23" s="2" t="s">
        <v>97</v>
      </c>
      <c r="D23" s="3">
        <v>45630</v>
      </c>
      <c r="E23" s="3">
        <v>45656</v>
      </c>
      <c r="F23" s="2">
        <f t="shared" si="0"/>
        <v>26</v>
      </c>
      <c r="G23" s="2" t="s">
        <v>48</v>
      </c>
      <c r="H23" s="5">
        <v>2025</v>
      </c>
    </row>
    <row r="24" spans="1:8" x14ac:dyDescent="0.25">
      <c r="A24" s="4" t="s">
        <v>50</v>
      </c>
      <c r="B24" s="2" t="s">
        <v>12</v>
      </c>
      <c r="C24" s="2" t="s">
        <v>97</v>
      </c>
      <c r="D24" s="3">
        <v>45678</v>
      </c>
      <c r="E24" s="3">
        <v>45694</v>
      </c>
      <c r="F24" s="2">
        <f t="shared" si="0"/>
        <v>16</v>
      </c>
      <c r="G24" s="2" t="s">
        <v>48</v>
      </c>
      <c r="H24" s="5">
        <v>2025</v>
      </c>
    </row>
    <row r="25" spans="1:8" x14ac:dyDescent="0.25">
      <c r="A25" s="4" t="s">
        <v>51</v>
      </c>
      <c r="B25" s="2" t="s">
        <v>7</v>
      </c>
      <c r="C25" s="2" t="s">
        <v>97</v>
      </c>
      <c r="D25" s="3">
        <v>45694</v>
      </c>
      <c r="E25" s="3">
        <v>45702</v>
      </c>
      <c r="F25" s="2">
        <f t="shared" si="0"/>
        <v>8</v>
      </c>
      <c r="G25" s="2" t="s">
        <v>48</v>
      </c>
      <c r="H25" s="5">
        <v>2025</v>
      </c>
    </row>
    <row r="26" spans="1:8" x14ac:dyDescent="0.25">
      <c r="A26" s="4" t="s">
        <v>52</v>
      </c>
      <c r="B26" s="2" t="s">
        <v>7</v>
      </c>
      <c r="C26" s="2" t="s">
        <v>93</v>
      </c>
      <c r="D26" s="3">
        <v>45624</v>
      </c>
      <c r="E26" s="3">
        <v>45677</v>
      </c>
      <c r="F26" s="2">
        <f t="shared" si="0"/>
        <v>53</v>
      </c>
      <c r="G26" s="2" t="s">
        <v>48</v>
      </c>
      <c r="H26" s="5">
        <v>2025</v>
      </c>
    </row>
    <row r="27" spans="1:8" x14ac:dyDescent="0.25">
      <c r="A27" s="4" t="s">
        <v>53</v>
      </c>
      <c r="B27" s="2" t="s">
        <v>10</v>
      </c>
      <c r="C27" s="2" t="s">
        <v>93</v>
      </c>
      <c r="D27" s="3">
        <v>45633</v>
      </c>
      <c r="E27" s="3">
        <v>45660</v>
      </c>
      <c r="F27" s="2">
        <f t="shared" si="0"/>
        <v>27</v>
      </c>
      <c r="G27" s="2" t="s">
        <v>48</v>
      </c>
      <c r="H27" s="5">
        <v>2025</v>
      </c>
    </row>
    <row r="28" spans="1:8" x14ac:dyDescent="0.25">
      <c r="A28" s="4" t="s">
        <v>26</v>
      </c>
      <c r="B28" s="2" t="s">
        <v>7</v>
      </c>
      <c r="C28" s="2" t="s">
        <v>100</v>
      </c>
      <c r="D28" s="3">
        <v>45695</v>
      </c>
      <c r="E28" s="3">
        <v>45705</v>
      </c>
      <c r="F28" s="2">
        <f t="shared" si="0"/>
        <v>10</v>
      </c>
      <c r="G28" s="2" t="s">
        <v>48</v>
      </c>
      <c r="H28" s="5">
        <v>2025</v>
      </c>
    </row>
    <row r="29" spans="1:8" x14ac:dyDescent="0.25">
      <c r="A29" s="4" t="s">
        <v>54</v>
      </c>
      <c r="B29" s="2" t="s">
        <v>10</v>
      </c>
      <c r="C29" s="2" t="s">
        <v>93</v>
      </c>
      <c r="D29" s="3">
        <v>45689</v>
      </c>
      <c r="E29" s="3">
        <v>45702</v>
      </c>
      <c r="F29" s="2">
        <f t="shared" si="0"/>
        <v>13</v>
      </c>
      <c r="G29" s="2" t="s">
        <v>48</v>
      </c>
      <c r="H29" s="5">
        <v>2025</v>
      </c>
    </row>
    <row r="30" spans="1:8" x14ac:dyDescent="0.25">
      <c r="A30" s="4" t="s">
        <v>55</v>
      </c>
      <c r="B30" s="2" t="s">
        <v>13</v>
      </c>
      <c r="C30" s="2" t="s">
        <v>99</v>
      </c>
      <c r="D30" s="3">
        <v>45580</v>
      </c>
      <c r="E30" s="3">
        <v>45701</v>
      </c>
      <c r="F30" s="2">
        <f t="shared" si="0"/>
        <v>121</v>
      </c>
      <c r="G30" s="2" t="s">
        <v>48</v>
      </c>
      <c r="H30" s="5">
        <v>2025</v>
      </c>
    </row>
    <row r="31" spans="1:8" x14ac:dyDescent="0.25">
      <c r="A31" s="4" t="s">
        <v>25</v>
      </c>
      <c r="B31" s="2" t="s">
        <v>8</v>
      </c>
      <c r="C31" s="2" t="s">
        <v>91</v>
      </c>
      <c r="D31" s="3">
        <v>45689</v>
      </c>
      <c r="E31" s="3">
        <v>45698</v>
      </c>
      <c r="F31" s="2">
        <f t="shared" si="0"/>
        <v>9</v>
      </c>
      <c r="G31" s="2" t="s">
        <v>48</v>
      </c>
      <c r="H31" s="5">
        <v>2025</v>
      </c>
    </row>
    <row r="32" spans="1:8" x14ac:dyDescent="0.25">
      <c r="A32" s="4" t="s">
        <v>56</v>
      </c>
      <c r="B32" s="2" t="s">
        <v>10</v>
      </c>
      <c r="C32" s="2" t="s">
        <v>94</v>
      </c>
      <c r="D32" s="3">
        <v>45684</v>
      </c>
      <c r="E32" s="3">
        <v>45691</v>
      </c>
      <c r="F32" s="2">
        <f t="shared" si="0"/>
        <v>7</v>
      </c>
      <c r="G32" s="2" t="s">
        <v>48</v>
      </c>
      <c r="H32" s="5">
        <v>2025</v>
      </c>
    </row>
    <row r="33" spans="1:8" x14ac:dyDescent="0.25">
      <c r="A33" s="4" t="s">
        <v>57</v>
      </c>
      <c r="B33" s="2" t="s">
        <v>17</v>
      </c>
      <c r="C33" s="2" t="s">
        <v>101</v>
      </c>
      <c r="D33" s="3">
        <v>45682</v>
      </c>
      <c r="E33" s="3">
        <v>45682</v>
      </c>
      <c r="F33" s="2">
        <f t="shared" si="0"/>
        <v>0</v>
      </c>
      <c r="G33" s="2" t="s">
        <v>48</v>
      </c>
      <c r="H33" s="5">
        <v>2025</v>
      </c>
    </row>
    <row r="34" spans="1:8" x14ac:dyDescent="0.25">
      <c r="A34" s="4" t="s">
        <v>58</v>
      </c>
      <c r="B34" s="2" t="s">
        <v>22</v>
      </c>
      <c r="C34" s="2" t="s">
        <v>95</v>
      </c>
      <c r="D34" s="3">
        <v>45688</v>
      </c>
      <c r="E34" s="3">
        <v>45689</v>
      </c>
      <c r="F34" s="2">
        <f t="shared" si="0"/>
        <v>1</v>
      </c>
      <c r="G34" s="2" t="s">
        <v>48</v>
      </c>
      <c r="H34" s="5">
        <v>2025</v>
      </c>
    </row>
    <row r="35" spans="1:8" x14ac:dyDescent="0.25">
      <c r="A35" s="4" t="s">
        <v>59</v>
      </c>
      <c r="B35" s="2" t="s">
        <v>10</v>
      </c>
      <c r="C35" s="2" t="s">
        <v>92</v>
      </c>
      <c r="D35" s="3">
        <v>45688</v>
      </c>
      <c r="E35" s="3">
        <v>45689</v>
      </c>
      <c r="F35" s="2">
        <f t="shared" si="0"/>
        <v>1</v>
      </c>
      <c r="G35" s="2" t="s">
        <v>48</v>
      </c>
      <c r="H35" s="5">
        <v>2025</v>
      </c>
    </row>
    <row r="36" spans="1:8" x14ac:dyDescent="0.25">
      <c r="A36" s="4" t="s">
        <v>60</v>
      </c>
      <c r="B36" s="2" t="s">
        <v>10</v>
      </c>
      <c r="C36" s="2" t="s">
        <v>92</v>
      </c>
      <c r="D36" s="3">
        <v>45688</v>
      </c>
      <c r="E36" s="3">
        <v>45689</v>
      </c>
      <c r="F36" s="2">
        <f t="shared" si="0"/>
        <v>1</v>
      </c>
      <c r="G36" s="2" t="s">
        <v>48</v>
      </c>
      <c r="H36" s="5">
        <v>2025</v>
      </c>
    </row>
    <row r="37" spans="1:8" x14ac:dyDescent="0.25">
      <c r="A37" s="4" t="s">
        <v>27</v>
      </c>
      <c r="B37" s="2" t="s">
        <v>10</v>
      </c>
      <c r="C37" s="2" t="s">
        <v>104</v>
      </c>
      <c r="D37" s="3">
        <v>45703</v>
      </c>
      <c r="E37" s="3">
        <v>45712</v>
      </c>
      <c r="F37" s="2">
        <f t="shared" si="0"/>
        <v>9</v>
      </c>
      <c r="G37" s="2" t="s">
        <v>48</v>
      </c>
      <c r="H37" s="5">
        <v>2025</v>
      </c>
    </row>
    <row r="38" spans="1:8" x14ac:dyDescent="0.25">
      <c r="A38" s="4" t="s">
        <v>20</v>
      </c>
      <c r="B38" s="2" t="s">
        <v>10</v>
      </c>
      <c r="C38" s="2" t="s">
        <v>104</v>
      </c>
      <c r="D38" s="3">
        <v>45703</v>
      </c>
      <c r="E38" s="3">
        <v>45712</v>
      </c>
      <c r="F38" s="2">
        <f t="shared" si="0"/>
        <v>9</v>
      </c>
      <c r="G38" s="2" t="s">
        <v>48</v>
      </c>
      <c r="H38" s="5">
        <v>2025</v>
      </c>
    </row>
    <row r="39" spans="1:8" x14ac:dyDescent="0.25">
      <c r="A39" s="4" t="s">
        <v>28</v>
      </c>
      <c r="B39" s="2" t="s">
        <v>10</v>
      </c>
      <c r="C39" s="2" t="s">
        <v>104</v>
      </c>
      <c r="D39" s="3">
        <v>45685</v>
      </c>
      <c r="E39" s="3">
        <v>45712</v>
      </c>
      <c r="F39" s="2">
        <f t="shared" si="0"/>
        <v>27</v>
      </c>
      <c r="G39" s="2" t="s">
        <v>48</v>
      </c>
      <c r="H39" s="5">
        <v>2025</v>
      </c>
    </row>
    <row r="40" spans="1:8" x14ac:dyDescent="0.25">
      <c r="A40" s="4" t="s">
        <v>12</v>
      </c>
      <c r="B40" s="2" t="s">
        <v>12</v>
      </c>
      <c r="C40" s="2" t="s">
        <v>104</v>
      </c>
      <c r="D40" s="3">
        <v>45686</v>
      </c>
      <c r="E40" s="3">
        <v>45712</v>
      </c>
      <c r="F40" s="2">
        <f t="shared" si="0"/>
        <v>26</v>
      </c>
      <c r="G40" s="2" t="s">
        <v>48</v>
      </c>
      <c r="H40" s="5">
        <v>2025</v>
      </c>
    </row>
    <row r="41" spans="1:8" x14ac:dyDescent="0.25">
      <c r="A41" s="4" t="s">
        <v>61</v>
      </c>
      <c r="B41" s="2" t="s">
        <v>10</v>
      </c>
      <c r="C41" s="2" t="s">
        <v>104</v>
      </c>
      <c r="D41" s="3">
        <v>45685</v>
      </c>
      <c r="E41" s="3">
        <v>45715</v>
      </c>
      <c r="F41" s="2">
        <f t="shared" si="0"/>
        <v>30</v>
      </c>
      <c r="G41" s="2" t="s">
        <v>48</v>
      </c>
      <c r="H41" s="5">
        <v>2025</v>
      </c>
    </row>
    <row r="42" spans="1:8" x14ac:dyDescent="0.25">
      <c r="A42" s="4" t="s">
        <v>62</v>
      </c>
      <c r="B42" s="2" t="s">
        <v>10</v>
      </c>
      <c r="C42" s="2" t="s">
        <v>98</v>
      </c>
      <c r="D42" s="3">
        <v>45644</v>
      </c>
      <c r="E42" s="3">
        <v>45678</v>
      </c>
      <c r="F42" s="2">
        <f t="shared" si="0"/>
        <v>34</v>
      </c>
      <c r="G42" s="2" t="s">
        <v>48</v>
      </c>
      <c r="H42" s="5">
        <v>2025</v>
      </c>
    </row>
    <row r="43" spans="1:8" ht="30" x14ac:dyDescent="0.25">
      <c r="A43" s="4" t="s">
        <v>33</v>
      </c>
      <c r="B43" s="2" t="s">
        <v>7</v>
      </c>
      <c r="C43" s="2" t="s">
        <v>98</v>
      </c>
      <c r="D43" s="3">
        <v>45673</v>
      </c>
      <c r="E43" s="3">
        <v>45677</v>
      </c>
      <c r="F43" s="2">
        <f t="shared" si="0"/>
        <v>4</v>
      </c>
      <c r="G43" s="2" t="s">
        <v>48</v>
      </c>
      <c r="H43" s="5">
        <v>2025</v>
      </c>
    </row>
    <row r="44" spans="1:8" x14ac:dyDescent="0.25">
      <c r="A44" s="4" t="s">
        <v>62</v>
      </c>
      <c r="B44" s="2" t="s">
        <v>10</v>
      </c>
      <c r="C44" s="2" t="s">
        <v>98</v>
      </c>
      <c r="D44" s="3">
        <v>45644</v>
      </c>
      <c r="E44" s="3">
        <v>45678</v>
      </c>
      <c r="F44" s="2">
        <f t="shared" si="0"/>
        <v>34</v>
      </c>
      <c r="G44" s="2" t="s">
        <v>48</v>
      </c>
      <c r="H44" s="5">
        <v>2025</v>
      </c>
    </row>
    <row r="45" spans="1:8" ht="30" x14ac:dyDescent="0.25">
      <c r="A45" s="4" t="s">
        <v>63</v>
      </c>
      <c r="B45" s="2" t="s">
        <v>8</v>
      </c>
      <c r="C45" s="2" t="s">
        <v>98</v>
      </c>
      <c r="D45" s="3">
        <v>45662</v>
      </c>
      <c r="E45" s="3">
        <v>45687</v>
      </c>
      <c r="F45" s="2">
        <f t="shared" si="0"/>
        <v>25</v>
      </c>
      <c r="G45" s="2" t="s">
        <v>48</v>
      </c>
      <c r="H45" s="5">
        <v>2025</v>
      </c>
    </row>
    <row r="46" spans="1:8" x14ac:dyDescent="0.25">
      <c r="A46" s="4" t="s">
        <v>11</v>
      </c>
      <c r="B46" s="2" t="s">
        <v>10</v>
      </c>
      <c r="C46" s="2" t="s">
        <v>98</v>
      </c>
      <c r="D46" s="3">
        <v>45674</v>
      </c>
      <c r="E46" s="3">
        <v>45684</v>
      </c>
      <c r="F46" s="2">
        <f t="shared" si="0"/>
        <v>10</v>
      </c>
      <c r="G46" s="2" t="s">
        <v>48</v>
      </c>
      <c r="H46" s="5">
        <v>2025</v>
      </c>
    </row>
    <row r="47" spans="1:8" x14ac:dyDescent="0.25">
      <c r="A47" s="4" t="s">
        <v>31</v>
      </c>
      <c r="B47" s="2" t="s">
        <v>7</v>
      </c>
      <c r="C47" s="2" t="s">
        <v>98</v>
      </c>
      <c r="D47" s="3">
        <v>45636</v>
      </c>
      <c r="E47" s="3">
        <v>45677</v>
      </c>
      <c r="F47" s="2">
        <f t="shared" si="0"/>
        <v>41</v>
      </c>
      <c r="G47" s="2" t="s">
        <v>48</v>
      </c>
      <c r="H47" s="5">
        <v>2025</v>
      </c>
    </row>
    <row r="48" spans="1:8" x14ac:dyDescent="0.25">
      <c r="A48" s="4" t="s">
        <v>64</v>
      </c>
      <c r="B48" s="2" t="s">
        <v>10</v>
      </c>
      <c r="C48" s="2" t="s">
        <v>98</v>
      </c>
      <c r="D48" s="3">
        <v>45689</v>
      </c>
      <c r="E48" s="3">
        <v>45689</v>
      </c>
      <c r="F48" s="2">
        <f t="shared" si="0"/>
        <v>0</v>
      </c>
      <c r="G48" s="2" t="s">
        <v>48</v>
      </c>
      <c r="H48" s="5">
        <v>2025</v>
      </c>
    </row>
    <row r="49" spans="1:8" x14ac:dyDescent="0.25">
      <c r="A49" s="4" t="s">
        <v>65</v>
      </c>
      <c r="B49" s="2" t="s">
        <v>10</v>
      </c>
      <c r="C49" s="2" t="s">
        <v>94</v>
      </c>
      <c r="D49" s="3">
        <v>45327</v>
      </c>
      <c r="E49" s="3">
        <v>45366</v>
      </c>
      <c r="F49" s="2">
        <f t="shared" si="0"/>
        <v>39</v>
      </c>
      <c r="G49" s="2" t="s">
        <v>48</v>
      </c>
      <c r="H49" s="5">
        <v>2025</v>
      </c>
    </row>
    <row r="50" spans="1:8" x14ac:dyDescent="0.25">
      <c r="A50" s="4" t="s">
        <v>66</v>
      </c>
      <c r="B50" s="2" t="s">
        <v>7</v>
      </c>
      <c r="C50" s="2" t="s">
        <v>91</v>
      </c>
      <c r="D50" s="3">
        <v>45724</v>
      </c>
      <c r="E50" s="3">
        <v>45724</v>
      </c>
      <c r="F50" s="2">
        <f t="shared" si="0"/>
        <v>0</v>
      </c>
      <c r="G50" s="2" t="s">
        <v>67</v>
      </c>
      <c r="H50" s="5">
        <v>2025</v>
      </c>
    </row>
    <row r="51" spans="1:8" x14ac:dyDescent="0.25">
      <c r="A51" s="4" t="s">
        <v>6</v>
      </c>
      <c r="B51" s="2" t="s">
        <v>7</v>
      </c>
      <c r="C51" s="2" t="s">
        <v>97</v>
      </c>
      <c r="D51" s="3">
        <v>45727</v>
      </c>
      <c r="E51" s="3">
        <v>45729</v>
      </c>
      <c r="F51" s="2">
        <f t="shared" si="0"/>
        <v>2</v>
      </c>
      <c r="G51" s="2" t="s">
        <v>67</v>
      </c>
      <c r="H51" s="5">
        <v>2025</v>
      </c>
    </row>
    <row r="52" spans="1:8" x14ac:dyDescent="0.25">
      <c r="A52" s="4" t="s">
        <v>26</v>
      </c>
      <c r="B52" s="2" t="s">
        <v>7</v>
      </c>
      <c r="C52" s="2" t="s">
        <v>100</v>
      </c>
      <c r="D52" s="3">
        <v>45735</v>
      </c>
      <c r="E52" s="3">
        <v>45735</v>
      </c>
      <c r="F52" s="2">
        <f t="shared" si="0"/>
        <v>0</v>
      </c>
      <c r="G52" s="2" t="s">
        <v>67</v>
      </c>
      <c r="H52" s="5">
        <v>2025</v>
      </c>
    </row>
    <row r="53" spans="1:8" x14ac:dyDescent="0.25">
      <c r="A53" s="4" t="s">
        <v>19</v>
      </c>
      <c r="B53" s="2" t="s">
        <v>10</v>
      </c>
      <c r="C53" s="2" t="s">
        <v>102</v>
      </c>
      <c r="D53" s="3">
        <v>45611</v>
      </c>
      <c r="E53" s="3">
        <v>45712</v>
      </c>
      <c r="F53" s="2">
        <f t="shared" si="0"/>
        <v>101</v>
      </c>
      <c r="G53" s="2" t="s">
        <v>67</v>
      </c>
      <c r="H53" s="5">
        <v>2025</v>
      </c>
    </row>
    <row r="54" spans="1:8" x14ac:dyDescent="0.25">
      <c r="A54" s="4" t="s">
        <v>57</v>
      </c>
      <c r="B54" s="2" t="s">
        <v>17</v>
      </c>
      <c r="C54" s="2" t="s">
        <v>101</v>
      </c>
      <c r="D54" s="3">
        <v>45736</v>
      </c>
      <c r="E54" s="3">
        <v>45740</v>
      </c>
      <c r="F54" s="2">
        <f t="shared" si="0"/>
        <v>4</v>
      </c>
      <c r="G54" s="2" t="s">
        <v>67</v>
      </c>
      <c r="H54" s="5">
        <v>2025</v>
      </c>
    </row>
    <row r="55" spans="1:8" x14ac:dyDescent="0.25">
      <c r="A55" s="4" t="s">
        <v>46</v>
      </c>
      <c r="B55" s="2" t="s">
        <v>7</v>
      </c>
      <c r="C55" s="2" t="s">
        <v>96</v>
      </c>
      <c r="D55" s="3">
        <v>45658</v>
      </c>
      <c r="E55" s="3">
        <v>45674</v>
      </c>
      <c r="F55" s="2">
        <f t="shared" si="0"/>
        <v>16</v>
      </c>
      <c r="G55" s="2" t="s">
        <v>67</v>
      </c>
      <c r="H55" s="5">
        <v>2025</v>
      </c>
    </row>
    <row r="56" spans="1:8" x14ac:dyDescent="0.25">
      <c r="A56" s="4" t="s">
        <v>68</v>
      </c>
      <c r="B56" s="2" t="s">
        <v>22</v>
      </c>
      <c r="C56" s="2" t="s">
        <v>95</v>
      </c>
      <c r="D56" s="3">
        <v>45716</v>
      </c>
      <c r="E56" s="3">
        <v>45716</v>
      </c>
      <c r="F56" s="2">
        <f t="shared" si="0"/>
        <v>0</v>
      </c>
      <c r="G56" s="2" t="s">
        <v>67</v>
      </c>
      <c r="H56" s="5">
        <v>2025</v>
      </c>
    </row>
    <row r="57" spans="1:8" ht="30" x14ac:dyDescent="0.25">
      <c r="A57" s="4" t="s">
        <v>69</v>
      </c>
      <c r="B57" s="2" t="s">
        <v>7</v>
      </c>
      <c r="C57" s="2" t="s">
        <v>98</v>
      </c>
      <c r="D57" s="3">
        <v>45664</v>
      </c>
      <c r="E57" s="3">
        <v>45684</v>
      </c>
      <c r="F57" s="2">
        <f t="shared" si="0"/>
        <v>20</v>
      </c>
      <c r="G57" s="2" t="s">
        <v>67</v>
      </c>
      <c r="H57" s="5">
        <v>2025</v>
      </c>
    </row>
    <row r="58" spans="1:8" x14ac:dyDescent="0.25">
      <c r="A58" s="4" t="s">
        <v>70</v>
      </c>
      <c r="B58" s="2" t="s">
        <v>10</v>
      </c>
      <c r="C58" s="2" t="s">
        <v>98</v>
      </c>
      <c r="D58" s="3">
        <v>45684</v>
      </c>
      <c r="E58" s="3">
        <v>45699</v>
      </c>
      <c r="F58" s="2">
        <f t="shared" si="0"/>
        <v>15</v>
      </c>
      <c r="G58" s="2" t="s">
        <v>67</v>
      </c>
      <c r="H58" s="5">
        <v>2025</v>
      </c>
    </row>
    <row r="59" spans="1:8" x14ac:dyDescent="0.25">
      <c r="A59" s="4" t="s">
        <v>14</v>
      </c>
      <c r="B59" s="2" t="s">
        <v>9</v>
      </c>
      <c r="C59" s="2" t="s">
        <v>104</v>
      </c>
      <c r="D59" s="3">
        <v>45690</v>
      </c>
      <c r="E59" s="3">
        <v>45709</v>
      </c>
      <c r="F59" s="2">
        <f t="shared" si="0"/>
        <v>19</v>
      </c>
      <c r="G59" s="2" t="s">
        <v>67</v>
      </c>
      <c r="H59" s="5">
        <v>2025</v>
      </c>
    </row>
    <row r="60" spans="1:8" x14ac:dyDescent="0.25">
      <c r="A60" s="4" t="s">
        <v>71</v>
      </c>
      <c r="B60" s="2" t="s">
        <v>9</v>
      </c>
      <c r="C60" s="2" t="s">
        <v>104</v>
      </c>
      <c r="D60" s="3">
        <v>45684</v>
      </c>
      <c r="E60" s="3">
        <v>45705</v>
      </c>
      <c r="F60" s="2">
        <f t="shared" si="0"/>
        <v>21</v>
      </c>
      <c r="G60" s="2" t="s">
        <v>67</v>
      </c>
      <c r="H60" s="5">
        <v>2025</v>
      </c>
    </row>
    <row r="61" spans="1:8" ht="30" x14ac:dyDescent="0.25">
      <c r="A61" s="4" t="s">
        <v>72</v>
      </c>
      <c r="B61" s="2" t="s">
        <v>12</v>
      </c>
      <c r="C61" s="2" t="s">
        <v>104</v>
      </c>
      <c r="D61" s="3">
        <v>45684</v>
      </c>
      <c r="E61" s="3">
        <v>45708</v>
      </c>
      <c r="F61" s="2">
        <f t="shared" si="0"/>
        <v>24</v>
      </c>
      <c r="G61" s="2" t="s">
        <v>67</v>
      </c>
      <c r="H61" s="5">
        <v>2025</v>
      </c>
    </row>
    <row r="62" spans="1:8" x14ac:dyDescent="0.25">
      <c r="A62" s="4" t="s">
        <v>9</v>
      </c>
      <c r="B62" s="2" t="s">
        <v>9</v>
      </c>
      <c r="C62" s="2" t="s">
        <v>104</v>
      </c>
      <c r="D62" s="3">
        <v>45676</v>
      </c>
      <c r="E62" s="3">
        <v>45711</v>
      </c>
      <c r="F62" s="2">
        <f t="shared" si="0"/>
        <v>35</v>
      </c>
      <c r="G62" s="2" t="s">
        <v>67</v>
      </c>
      <c r="H62" s="5">
        <v>2025</v>
      </c>
    </row>
    <row r="63" spans="1:8" x14ac:dyDescent="0.25">
      <c r="A63" s="4" t="s">
        <v>7</v>
      </c>
      <c r="B63" s="2" t="s">
        <v>73</v>
      </c>
      <c r="C63" s="2" t="s">
        <v>104</v>
      </c>
      <c r="D63" s="3">
        <v>45703</v>
      </c>
      <c r="E63" s="3">
        <v>45715</v>
      </c>
      <c r="F63" s="2">
        <f t="shared" si="0"/>
        <v>12</v>
      </c>
      <c r="G63" s="2" t="s">
        <v>67</v>
      </c>
      <c r="H63" s="5">
        <v>2025</v>
      </c>
    </row>
    <row r="64" spans="1:8" x14ac:dyDescent="0.25">
      <c r="A64" s="4" t="s">
        <v>21</v>
      </c>
      <c r="B64" s="2" t="s">
        <v>8</v>
      </c>
      <c r="C64" s="2" t="s">
        <v>104</v>
      </c>
      <c r="D64" s="3">
        <v>45688</v>
      </c>
      <c r="E64" s="3">
        <v>45728</v>
      </c>
      <c r="F64" s="2">
        <f t="shared" si="0"/>
        <v>40</v>
      </c>
      <c r="G64" s="2" t="s">
        <v>67</v>
      </c>
      <c r="H64" s="5">
        <v>2025</v>
      </c>
    </row>
    <row r="65" spans="1:8" x14ac:dyDescent="0.25">
      <c r="A65" s="4" t="s">
        <v>74</v>
      </c>
      <c r="B65" s="2" t="s">
        <v>9</v>
      </c>
      <c r="C65" s="2" t="s">
        <v>104</v>
      </c>
      <c r="D65" s="3">
        <v>45710</v>
      </c>
      <c r="E65" s="3">
        <v>45741</v>
      </c>
      <c r="F65" s="2">
        <f t="shared" si="0"/>
        <v>31</v>
      </c>
      <c r="G65" s="2" t="s">
        <v>67</v>
      </c>
      <c r="H65" s="5">
        <v>2025</v>
      </c>
    </row>
    <row r="66" spans="1:8" x14ac:dyDescent="0.25">
      <c r="A66" s="4" t="s">
        <v>52</v>
      </c>
      <c r="B66" s="2" t="s">
        <v>7</v>
      </c>
      <c r="C66" s="2" t="s">
        <v>93</v>
      </c>
      <c r="D66" s="3">
        <v>45726</v>
      </c>
      <c r="E66" s="3">
        <v>45748</v>
      </c>
      <c r="F66" s="2">
        <f t="shared" si="0"/>
        <v>22</v>
      </c>
      <c r="G66" s="2" t="s">
        <v>75</v>
      </c>
      <c r="H66" s="5">
        <v>2025</v>
      </c>
    </row>
    <row r="67" spans="1:8" x14ac:dyDescent="0.25">
      <c r="A67" s="4" t="s">
        <v>11</v>
      </c>
      <c r="B67" s="2" t="s">
        <v>10</v>
      </c>
      <c r="C67" s="2" t="s">
        <v>100</v>
      </c>
      <c r="D67" s="3">
        <v>45748</v>
      </c>
      <c r="E67" s="3">
        <v>45749</v>
      </c>
      <c r="F67" s="2">
        <f t="shared" ref="F67:F89" si="1">E67-D67</f>
        <v>1</v>
      </c>
      <c r="G67" s="2" t="s">
        <v>75</v>
      </c>
      <c r="H67" s="5">
        <v>2025</v>
      </c>
    </row>
    <row r="68" spans="1:8" x14ac:dyDescent="0.25">
      <c r="A68" s="4" t="s">
        <v>76</v>
      </c>
      <c r="B68" s="2" t="s">
        <v>8</v>
      </c>
      <c r="C68" s="2" t="s">
        <v>100</v>
      </c>
      <c r="D68" s="3">
        <v>45735</v>
      </c>
      <c r="E68" s="3">
        <v>45735</v>
      </c>
      <c r="F68" s="2">
        <f t="shared" si="1"/>
        <v>0</v>
      </c>
      <c r="G68" s="2" t="s">
        <v>75</v>
      </c>
      <c r="H68" s="5">
        <v>2025</v>
      </c>
    </row>
    <row r="69" spans="1:8" x14ac:dyDescent="0.25">
      <c r="A69" s="4" t="s">
        <v>77</v>
      </c>
      <c r="B69" s="2" t="s">
        <v>7</v>
      </c>
      <c r="C69" s="2" t="s">
        <v>105</v>
      </c>
      <c r="D69" s="3">
        <v>45735</v>
      </c>
      <c r="E69" s="3">
        <v>45754</v>
      </c>
      <c r="F69" s="2">
        <f t="shared" si="1"/>
        <v>19</v>
      </c>
      <c r="G69" s="2" t="s">
        <v>75</v>
      </c>
      <c r="H69" s="5">
        <v>2025</v>
      </c>
    </row>
    <row r="70" spans="1:8" x14ac:dyDescent="0.25">
      <c r="A70" s="4" t="s">
        <v>78</v>
      </c>
      <c r="B70" s="2" t="s">
        <v>7</v>
      </c>
      <c r="C70" s="2" t="s">
        <v>105</v>
      </c>
      <c r="D70" s="3">
        <v>45754</v>
      </c>
      <c r="E70" s="3">
        <v>45769</v>
      </c>
      <c r="F70" s="2">
        <f t="shared" si="1"/>
        <v>15</v>
      </c>
      <c r="G70" s="2" t="s">
        <v>75</v>
      </c>
      <c r="H70" s="5">
        <v>2025</v>
      </c>
    </row>
    <row r="71" spans="1:8" x14ac:dyDescent="0.25">
      <c r="A71" s="4" t="s">
        <v>79</v>
      </c>
      <c r="B71" s="2" t="s">
        <v>10</v>
      </c>
      <c r="C71" s="2" t="s">
        <v>102</v>
      </c>
      <c r="D71" s="3">
        <v>45747</v>
      </c>
      <c r="E71" s="3">
        <v>45748</v>
      </c>
      <c r="F71" s="2">
        <f t="shared" si="1"/>
        <v>1</v>
      </c>
      <c r="G71" s="2" t="s">
        <v>75</v>
      </c>
      <c r="H71" s="5">
        <v>2025</v>
      </c>
    </row>
    <row r="72" spans="1:8" x14ac:dyDescent="0.25">
      <c r="A72" s="4" t="s">
        <v>80</v>
      </c>
      <c r="B72" s="2" t="s">
        <v>10</v>
      </c>
      <c r="C72" s="2" t="s">
        <v>102</v>
      </c>
      <c r="D72" s="3">
        <v>45747</v>
      </c>
      <c r="E72" s="3">
        <v>45748</v>
      </c>
      <c r="F72" s="2">
        <f t="shared" si="1"/>
        <v>1</v>
      </c>
      <c r="G72" s="2" t="s">
        <v>75</v>
      </c>
      <c r="H72" s="5">
        <v>2025</v>
      </c>
    </row>
    <row r="73" spans="1:8" x14ac:dyDescent="0.25">
      <c r="A73" s="4" t="s">
        <v>81</v>
      </c>
      <c r="B73" s="2" t="s">
        <v>10</v>
      </c>
      <c r="C73" s="2" t="s">
        <v>102</v>
      </c>
      <c r="D73" s="3">
        <v>45747</v>
      </c>
      <c r="E73" s="3">
        <v>45748</v>
      </c>
      <c r="F73" s="2">
        <f t="shared" si="1"/>
        <v>1</v>
      </c>
      <c r="G73" s="2" t="s">
        <v>75</v>
      </c>
      <c r="H73" s="5">
        <v>2025</v>
      </c>
    </row>
    <row r="74" spans="1:8" x14ac:dyDescent="0.25">
      <c r="A74" s="4" t="s">
        <v>82</v>
      </c>
      <c r="B74" s="2" t="s">
        <v>10</v>
      </c>
      <c r="C74" s="2" t="s">
        <v>102</v>
      </c>
      <c r="D74" s="3">
        <v>45747</v>
      </c>
      <c r="E74" s="3">
        <v>45748</v>
      </c>
      <c r="F74" s="2">
        <f t="shared" si="1"/>
        <v>1</v>
      </c>
      <c r="G74" s="2" t="s">
        <v>75</v>
      </c>
      <c r="H74" s="5">
        <v>2025</v>
      </c>
    </row>
    <row r="75" spans="1:8" x14ac:dyDescent="0.25">
      <c r="A75" s="4" t="s">
        <v>83</v>
      </c>
      <c r="B75" s="2" t="s">
        <v>10</v>
      </c>
      <c r="C75" s="2" t="s">
        <v>102</v>
      </c>
      <c r="D75" s="3">
        <v>45747</v>
      </c>
      <c r="E75" s="3">
        <v>45749</v>
      </c>
      <c r="F75" s="2">
        <f t="shared" si="1"/>
        <v>2</v>
      </c>
      <c r="G75" s="2" t="s">
        <v>75</v>
      </c>
      <c r="H75" s="5">
        <v>2025</v>
      </c>
    </row>
    <row r="76" spans="1:8" x14ac:dyDescent="0.25">
      <c r="A76" s="4" t="s">
        <v>79</v>
      </c>
      <c r="B76" s="2" t="s">
        <v>10</v>
      </c>
      <c r="C76" s="2" t="s">
        <v>98</v>
      </c>
      <c r="D76" s="3">
        <v>45747</v>
      </c>
      <c r="E76" s="3">
        <v>45748</v>
      </c>
      <c r="F76" s="2">
        <f t="shared" si="1"/>
        <v>1</v>
      </c>
      <c r="G76" s="2" t="s">
        <v>75</v>
      </c>
      <c r="H76" s="5">
        <v>2025</v>
      </c>
    </row>
    <row r="77" spans="1:8" x14ac:dyDescent="0.25">
      <c r="A77" s="4" t="s">
        <v>80</v>
      </c>
      <c r="B77" s="2" t="s">
        <v>10</v>
      </c>
      <c r="C77" s="2" t="s">
        <v>98</v>
      </c>
      <c r="D77" s="3">
        <v>45747</v>
      </c>
      <c r="E77" s="3">
        <v>45748</v>
      </c>
      <c r="F77" s="2">
        <f t="shared" si="1"/>
        <v>1</v>
      </c>
      <c r="G77" s="2" t="s">
        <v>75</v>
      </c>
      <c r="H77" s="5">
        <v>2025</v>
      </c>
    </row>
    <row r="78" spans="1:8" x14ac:dyDescent="0.25">
      <c r="A78" s="4" t="s">
        <v>81</v>
      </c>
      <c r="B78" s="2" t="s">
        <v>10</v>
      </c>
      <c r="C78" s="2" t="s">
        <v>98</v>
      </c>
      <c r="D78" s="3">
        <v>45747</v>
      </c>
      <c r="E78" s="3">
        <v>45749</v>
      </c>
      <c r="F78" s="2">
        <f t="shared" si="1"/>
        <v>2</v>
      </c>
      <c r="G78" s="2" t="s">
        <v>75</v>
      </c>
      <c r="H78" s="5">
        <v>2025</v>
      </c>
    </row>
    <row r="79" spans="1:8" x14ac:dyDescent="0.25">
      <c r="A79" s="4" t="s">
        <v>84</v>
      </c>
      <c r="B79" s="2" t="s">
        <v>13</v>
      </c>
      <c r="C79" s="2" t="s">
        <v>103</v>
      </c>
      <c r="D79" s="3">
        <v>45726</v>
      </c>
      <c r="E79" s="3">
        <v>45758</v>
      </c>
      <c r="F79" s="2">
        <f t="shared" si="1"/>
        <v>32</v>
      </c>
      <c r="G79" s="2" t="s">
        <v>75</v>
      </c>
      <c r="H79" s="5">
        <v>2025</v>
      </c>
    </row>
    <row r="80" spans="1:8" x14ac:dyDescent="0.25">
      <c r="A80" s="4" t="s">
        <v>85</v>
      </c>
      <c r="B80" s="2" t="s">
        <v>10</v>
      </c>
      <c r="C80" s="2" t="s">
        <v>104</v>
      </c>
      <c r="D80" s="3">
        <v>45724</v>
      </c>
      <c r="E80" s="3">
        <v>45754</v>
      </c>
      <c r="F80" s="2">
        <f t="shared" si="1"/>
        <v>30</v>
      </c>
      <c r="G80" s="2" t="s">
        <v>75</v>
      </c>
      <c r="H80" s="5">
        <v>2025</v>
      </c>
    </row>
    <row r="81" spans="1:8" x14ac:dyDescent="0.25">
      <c r="A81" s="4" t="s">
        <v>86</v>
      </c>
      <c r="B81" s="2" t="s">
        <v>7</v>
      </c>
      <c r="C81" s="2" t="s">
        <v>98</v>
      </c>
      <c r="D81" s="3">
        <v>45747</v>
      </c>
      <c r="E81" s="3">
        <v>45748</v>
      </c>
      <c r="F81" s="2">
        <f t="shared" si="1"/>
        <v>1</v>
      </c>
      <c r="G81" s="2" t="s">
        <v>75</v>
      </c>
      <c r="H81" s="5">
        <v>2025</v>
      </c>
    </row>
    <row r="82" spans="1:8" x14ac:dyDescent="0.25">
      <c r="A82" s="4" t="s">
        <v>16</v>
      </c>
      <c r="B82" s="2" t="s">
        <v>10</v>
      </c>
      <c r="C82" s="2" t="s">
        <v>98</v>
      </c>
      <c r="D82" s="3">
        <v>45747</v>
      </c>
      <c r="E82" s="3">
        <v>45748</v>
      </c>
      <c r="F82" s="2">
        <f t="shared" si="1"/>
        <v>1</v>
      </c>
      <c r="G82" s="2" t="s">
        <v>75</v>
      </c>
      <c r="H82" s="5">
        <v>2025</v>
      </c>
    </row>
    <row r="83" spans="1:8" x14ac:dyDescent="0.25">
      <c r="A83" s="4" t="s">
        <v>87</v>
      </c>
      <c r="B83" s="2" t="s">
        <v>7</v>
      </c>
      <c r="C83" s="2" t="s">
        <v>98</v>
      </c>
      <c r="D83" s="3">
        <v>45747</v>
      </c>
      <c r="E83" s="3">
        <v>45748</v>
      </c>
      <c r="F83" s="2">
        <f t="shared" si="1"/>
        <v>1</v>
      </c>
      <c r="G83" s="2" t="s">
        <v>75</v>
      </c>
      <c r="H83" s="5">
        <v>2025</v>
      </c>
    </row>
    <row r="84" spans="1:8" x14ac:dyDescent="0.25">
      <c r="A84" s="4" t="s">
        <v>23</v>
      </c>
      <c r="B84" s="2" t="s">
        <v>8</v>
      </c>
      <c r="C84" s="2" t="s">
        <v>98</v>
      </c>
      <c r="D84" s="3">
        <v>45747</v>
      </c>
      <c r="E84" s="3">
        <v>45748</v>
      </c>
      <c r="F84" s="2">
        <f t="shared" si="1"/>
        <v>1</v>
      </c>
      <c r="G84" s="2" t="s">
        <v>75</v>
      </c>
      <c r="H84" s="5">
        <v>2025</v>
      </c>
    </row>
    <row r="85" spans="1:8" x14ac:dyDescent="0.25">
      <c r="A85" s="4" t="s">
        <v>88</v>
      </c>
      <c r="B85" s="2" t="s">
        <v>22</v>
      </c>
      <c r="C85" s="2" t="s">
        <v>98</v>
      </c>
      <c r="D85" s="3">
        <v>45754</v>
      </c>
      <c r="E85" s="3">
        <v>45755</v>
      </c>
      <c r="F85" s="2">
        <f t="shared" si="1"/>
        <v>1</v>
      </c>
      <c r="G85" s="2" t="s">
        <v>75</v>
      </c>
      <c r="H85" s="5">
        <v>2025</v>
      </c>
    </row>
    <row r="86" spans="1:8" x14ac:dyDescent="0.25">
      <c r="A86" s="4" t="s">
        <v>88</v>
      </c>
      <c r="B86" s="2" t="s">
        <v>22</v>
      </c>
      <c r="C86" s="2" t="s">
        <v>98</v>
      </c>
      <c r="D86" s="3">
        <v>45754</v>
      </c>
      <c r="E86" s="3">
        <v>45755</v>
      </c>
      <c r="F86" s="2">
        <f t="shared" si="1"/>
        <v>1</v>
      </c>
      <c r="G86" s="2" t="s">
        <v>75</v>
      </c>
      <c r="H86" s="5">
        <v>2025</v>
      </c>
    </row>
    <row r="87" spans="1:8" x14ac:dyDescent="0.25">
      <c r="A87" s="4" t="s">
        <v>29</v>
      </c>
      <c r="B87" s="2" t="s">
        <v>10</v>
      </c>
      <c r="C87" s="2" t="s">
        <v>98</v>
      </c>
      <c r="D87" s="3">
        <v>45754</v>
      </c>
      <c r="E87" s="3">
        <v>45755</v>
      </c>
      <c r="F87" s="2">
        <f t="shared" si="1"/>
        <v>1</v>
      </c>
      <c r="G87" s="2" t="s">
        <v>75</v>
      </c>
      <c r="H87" s="5">
        <v>2025</v>
      </c>
    </row>
    <row r="88" spans="1:8" x14ac:dyDescent="0.25">
      <c r="A88" s="4" t="s">
        <v>89</v>
      </c>
      <c r="B88" s="2" t="s">
        <v>7</v>
      </c>
      <c r="C88" s="2" t="s">
        <v>98</v>
      </c>
      <c r="D88" s="3">
        <v>45741</v>
      </c>
      <c r="E88" s="3">
        <v>45750</v>
      </c>
      <c r="F88" s="2">
        <f t="shared" si="1"/>
        <v>9</v>
      </c>
      <c r="G88" s="2" t="s">
        <v>75</v>
      </c>
      <c r="H88" s="5">
        <v>2025</v>
      </c>
    </row>
    <row r="89" spans="1:8" x14ac:dyDescent="0.25">
      <c r="A89" s="9" t="s">
        <v>90</v>
      </c>
      <c r="B89" s="10" t="s">
        <v>8</v>
      </c>
      <c r="C89" s="10" t="s">
        <v>95</v>
      </c>
      <c r="D89" s="11">
        <v>45726</v>
      </c>
      <c r="E89" s="11">
        <v>45748</v>
      </c>
      <c r="F89" s="10">
        <f t="shared" si="1"/>
        <v>22</v>
      </c>
      <c r="G89" s="10" t="s">
        <v>75</v>
      </c>
      <c r="H89" s="12">
        <v>2025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B324A714-B33C-4859-96B3-4F7C7206F34D}">
  <ds:schemaRefs/>
</ds:datastoreItem>
</file>

<file path=customXml/itemProps2.xml><?xml version="1.0" encoding="utf-8"?>
<ds:datastoreItem xmlns:ds="http://schemas.openxmlformats.org/officeDocument/2006/customXml" ds:itemID="{86B9978F-A42F-4C8F-A8B2-B26026D6C4AA}">
  <ds:schemaRefs/>
</ds:datastoreItem>
</file>

<file path=customXml/itemProps3.xml><?xml version="1.0" encoding="utf-8"?>
<ds:datastoreItem xmlns:ds="http://schemas.openxmlformats.org/officeDocument/2006/customXml" ds:itemID="{CD54872B-375B-41F6-9801-D91B841FAE50}">
  <ds:schemaRefs/>
</ds:datastoreItem>
</file>

<file path=customXml/itemProps4.xml><?xml version="1.0" encoding="utf-8"?>
<ds:datastoreItem xmlns:ds="http://schemas.openxmlformats.org/officeDocument/2006/customXml" ds:itemID="{01CB5247-AEC7-4280-B89B-B0CC2B210DC7}">
  <ds:schemaRefs/>
</ds:datastoreItem>
</file>

<file path=customXml/itemProps5.xml><?xml version="1.0" encoding="utf-8"?>
<ds:datastoreItem xmlns:ds="http://schemas.openxmlformats.org/officeDocument/2006/customXml" ds:itemID="{3109B57C-B78A-42D9-B76C-F02B9983621E}">
  <ds:schemaRefs/>
</ds:datastoreItem>
</file>

<file path=customXml/itemProps6.xml><?xml version="1.0" encoding="utf-8"?>
<ds:datastoreItem xmlns:ds="http://schemas.openxmlformats.org/officeDocument/2006/customXml" ds:itemID="{F93230E9-182D-4221-BDE6-5077C80449C2}">
  <ds:schemaRefs/>
</ds:datastoreItem>
</file>

<file path=customXml/itemProps7.xml><?xml version="1.0" encoding="utf-8"?>
<ds:datastoreItem xmlns:ds="http://schemas.openxmlformats.org/officeDocument/2006/customXml" ds:itemID="{56F72FD7-87A1-4C12-A6A9-CCD0CC25ADA6}">
  <ds:schemaRefs/>
</ds:datastoreItem>
</file>

<file path=customXml/itemProps8.xml><?xml version="1.0" encoding="utf-8"?>
<ds:datastoreItem xmlns:ds="http://schemas.openxmlformats.org/officeDocument/2006/customXml" ds:itemID="{4D7F58A3-9707-46DF-910F-E65D7538365F}">
  <ds:schemaRefs/>
</ds:datastoreItem>
</file>

<file path=customXml/itemProps9.xml><?xml version="1.0" encoding="utf-8"?>
<ds:datastoreItem xmlns:ds="http://schemas.openxmlformats.org/officeDocument/2006/customXml" ds:itemID="{E14DFB68-6387-4A2D-8379-6666B38A7038}">
  <ds:schemaRefs/>
</ds:datastoreItem>
</file>

<file path=customXml/itemProps10.xml><?xml version="1.0" encoding="utf-8"?>
<ds:datastoreItem xmlns:ds="http://schemas.openxmlformats.org/officeDocument/2006/customXml" ds:itemID="{B7A300B4-68A8-44F7-98D7-B3F0D2648431}">
  <ds:schemaRefs/>
</ds:datastoreItem>
</file>

<file path=customXml/itemProps11.xml><?xml version="1.0" encoding="utf-8"?>
<ds:datastoreItem xmlns:ds="http://schemas.openxmlformats.org/officeDocument/2006/customXml" ds:itemID="{1C117362-FE26-4788-B83B-D4EE8BD5E40E}">
  <ds:schemaRefs/>
</ds:datastoreItem>
</file>

<file path=customXml/itemProps12.xml><?xml version="1.0" encoding="utf-8"?>
<ds:datastoreItem xmlns:ds="http://schemas.openxmlformats.org/officeDocument/2006/customXml" ds:itemID="{B8321EBE-DCD1-476B-B292-E53D0D1950FF}">
  <ds:schemaRefs/>
</ds:datastoreItem>
</file>

<file path=customXml/itemProps13.xml><?xml version="1.0" encoding="utf-8"?>
<ds:datastoreItem xmlns:ds="http://schemas.openxmlformats.org/officeDocument/2006/customXml" ds:itemID="{4EC7A69B-5288-4FD3-A797-F2F17A39AD57}">
  <ds:schemaRefs/>
</ds:datastoreItem>
</file>

<file path=customXml/itemProps14.xml><?xml version="1.0" encoding="utf-8"?>
<ds:datastoreItem xmlns:ds="http://schemas.openxmlformats.org/officeDocument/2006/customXml" ds:itemID="{AF18DACA-1233-46E4-990D-547DCF8A173B}">
  <ds:schemaRefs/>
</ds:datastoreItem>
</file>

<file path=customXml/itemProps15.xml><?xml version="1.0" encoding="utf-8"?>
<ds:datastoreItem xmlns:ds="http://schemas.openxmlformats.org/officeDocument/2006/customXml" ds:itemID="{9F40516F-4377-4318-8218-AA578339F100}">
  <ds:schemaRefs/>
</ds:datastoreItem>
</file>

<file path=customXml/itemProps16.xml><?xml version="1.0" encoding="utf-8"?>
<ds:datastoreItem xmlns:ds="http://schemas.openxmlformats.org/officeDocument/2006/customXml" ds:itemID="{61D67115-0A0C-4041-8E42-FD8A4039513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Executive &amp; above Recruitments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Randhi Fernando</dc:creator>
  <cp:lastModifiedBy>MOHAMAD MAFAS</cp:lastModifiedBy>
  <dcterms:created xsi:type="dcterms:W3CDTF">2025-05-29T14:55:28Z</dcterms:created>
  <dcterms:modified xsi:type="dcterms:W3CDTF">2025-06-10T11:02:34Z</dcterms:modified>
</cp:coreProperties>
</file>